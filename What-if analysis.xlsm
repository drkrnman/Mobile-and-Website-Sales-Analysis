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Папа\Data course 2025\Projects\App\"/>
    </mc:Choice>
  </mc:AlternateContent>
  <xr:revisionPtr revIDLastSave="0" documentId="13_ncr:1_{2B042150-276C-4C9A-92F0-72CA50A026D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nalysis" sheetId="7" r:id="rId1"/>
    <sheet name="db_query" sheetId="8" r:id="rId2"/>
  </sheets>
  <definedNames>
    <definedName name="ExternalData_1" localSheetId="1" hidden="1">db_query!$A$1:$D$6</definedName>
    <definedName name="Years">db_query!$F$2:$F$6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7" l="1"/>
  <c r="D8" i="7"/>
  <c r="C11" i="7" s="1"/>
  <c r="F8" i="7"/>
  <c r="E8" i="7"/>
  <c r="C12" i="7" l="1"/>
  <c r="C13" i="7"/>
  <c r="C15" i="7" s="1"/>
  <c r="D20" i="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uery1" description="Connection to the 'Query1' query in the workbook." type="5" refreshedVersion="8" background="1" saveData="1">
    <dbPr connection="Provider=Microsoft.Mashup.OleDb.1;Data Source=$Workbook$;Location=Query1;Extended Properties=&quot;&quot;" command="SELECT * FROM [Query1]"/>
  </connection>
  <connection id="2" xr16:uid="{00000000-0015-0000-FFFF-FFFF01000000}" keepAlive="1" name="Query - Query2" description="Connection to the 'Query2' query in the workbook." type="5" refreshedVersion="8" background="1" saveData="1">
    <dbPr connection="Provider=Microsoft.Mashup.OleDb.1;Data Source=$Workbook$;Location=Query2;Extended Properties=&quot;&quot;" command="SELECT * FROM [Query2]"/>
  </connection>
</connections>
</file>

<file path=xl/sharedStrings.xml><?xml version="1.0" encoding="utf-8"?>
<sst xmlns="http://schemas.openxmlformats.org/spreadsheetml/2006/main" count="26" uniqueCount="23">
  <si>
    <t>Revenue</t>
  </si>
  <si>
    <t>purch_year</t>
  </si>
  <si>
    <t>purchases_cnt</t>
  </si>
  <si>
    <t>items_cnt</t>
  </si>
  <si>
    <t>revenue</t>
  </si>
  <si>
    <t>Years</t>
  </si>
  <si>
    <t>Year</t>
  </si>
  <si>
    <t>Number of purchases</t>
  </si>
  <si>
    <t>Avg Items number per 1 purchase</t>
  </si>
  <si>
    <t>Avg item price</t>
  </si>
  <si>
    <t>Revenue, mln</t>
  </si>
  <si>
    <t>select a year</t>
  </si>
  <si>
    <t>Data from the database:</t>
  </si>
  <si>
    <t>thousands</t>
  </si>
  <si>
    <t>billions</t>
  </si>
  <si>
    <t>Avg item price, thousands</t>
  </si>
  <si>
    <t>year</t>
  </si>
  <si>
    <t>Number of items sold</t>
  </si>
  <si>
    <t>How much revenue could be?</t>
  </si>
  <si>
    <t>select
    year(t.created_dt) as purch_year,
    count(*) as purchases_cnt,
    sum(t.prods_cnt) as items_cnt,
    sum(t.total_amount) as revenue 
from dm_transactions t
where year(t.created_dt)&gt;2016 and year(t.created_dt)&lt;2022
group by year(t.created_dt)</t>
  </si>
  <si>
    <t>In billions</t>
  </si>
  <si>
    <t>What-if analysis</t>
  </si>
  <si>
    <t>Actual metrics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</si>
</sst>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10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b/>
      <u/>
      <sz val="16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sz val="10"/>
      <name val="Consolas"/>
      <family val="3"/>
      <charset val="204"/>
    </font>
    <font>
      <b/>
      <sz val="12"/>
      <color theme="1"/>
      <name val="Calibri"/>
      <family val="2"/>
      <charset val="204"/>
      <scheme val="minor"/>
    </font>
    <font>
      <b/>
      <sz val="14"/>
      <color rgb="FFFF0000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3"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0" fontId="5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center"/>
    </xf>
    <xf numFmtId="0" fontId="2" fillId="2" borderId="0" xfId="0" applyFont="1" applyFill="1"/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3" fontId="0" fillId="2" borderId="1" xfId="0" applyNumberForma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3" fillId="2" borderId="0" xfId="0" applyFont="1" applyFill="1" applyAlignment="1">
      <alignment horizontal="left"/>
    </xf>
    <xf numFmtId="9" fontId="0" fillId="2" borderId="1" xfId="0" applyNumberFormat="1" applyFill="1" applyBorder="1" applyAlignment="1">
      <alignment horizontal="center"/>
    </xf>
    <xf numFmtId="9" fontId="0" fillId="2" borderId="1" xfId="1" applyFont="1" applyFill="1" applyBorder="1" applyAlignment="1">
      <alignment horizontal="center"/>
    </xf>
    <xf numFmtId="165" fontId="0" fillId="2" borderId="0" xfId="0" applyNumberForma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6" fillId="2" borderId="0" xfId="0" applyFont="1" applyFill="1" applyAlignment="1">
      <alignment horizontal="left"/>
    </xf>
    <xf numFmtId="0" fontId="6" fillId="2" borderId="0" xfId="0" applyFont="1" applyFill="1"/>
    <xf numFmtId="0" fontId="4" fillId="0" borderId="0" xfId="0" applyFont="1" applyAlignment="1">
      <alignment horizontal="center"/>
    </xf>
    <xf numFmtId="0" fontId="0" fillId="2" borderId="0" xfId="0" applyFill="1" applyAlignment="1">
      <alignment horizontal="center"/>
    </xf>
    <xf numFmtId="164" fontId="0" fillId="2" borderId="6" xfId="0" applyNumberFormat="1" applyFill="1" applyBorder="1" applyAlignment="1">
      <alignment horizontal="center"/>
    </xf>
    <xf numFmtId="164" fontId="0" fillId="2" borderId="7" xfId="0" applyNumberFormat="1" applyFill="1" applyBorder="1" applyAlignment="1">
      <alignment horizontal="center"/>
    </xf>
    <xf numFmtId="164" fontId="0" fillId="2" borderId="8" xfId="0" applyNumberForma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0" xfId="0" applyNumberFormat="1" applyFill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164" fontId="2" fillId="2" borderId="0" xfId="0" applyNumberFormat="1" applyFont="1" applyFill="1" applyAlignment="1">
      <alignment horizontal="center"/>
    </xf>
    <xf numFmtId="164" fontId="0" fillId="2" borderId="10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164" fontId="0" fillId="2" borderId="12" xfId="0" applyNumberFormat="1" applyFill="1" applyBorder="1" applyAlignment="1">
      <alignment horizontal="center"/>
    </xf>
    <xf numFmtId="0" fontId="0" fillId="3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3" fillId="2" borderId="0" xfId="0" applyFont="1" applyFill="1"/>
    <xf numFmtId="9" fontId="0" fillId="2" borderId="0" xfId="1" applyFont="1" applyFill="1"/>
    <xf numFmtId="9" fontId="0" fillId="2" borderId="0" xfId="1" applyFont="1" applyFill="1" applyAlignment="1">
      <alignment horizontal="center"/>
    </xf>
    <xf numFmtId="2" fontId="2" fillId="2" borderId="1" xfId="0" applyNumberFormat="1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9" fillId="2" borderId="0" xfId="0" applyFont="1" applyFill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7" fillId="0" borderId="6" xfId="0" applyFont="1" applyBorder="1" applyAlignment="1">
      <alignment horizontal="left" vertical="center" wrapText="1"/>
    </xf>
    <xf numFmtId="0" fontId="7" fillId="0" borderId="7" xfId="0" applyFont="1" applyBorder="1" applyAlignment="1">
      <alignment horizontal="left" vertical="center"/>
    </xf>
    <xf numFmtId="0" fontId="7" fillId="0" borderId="8" xfId="0" applyFont="1" applyBorder="1" applyAlignment="1">
      <alignment horizontal="left" vertical="center"/>
    </xf>
    <xf numFmtId="0" fontId="7" fillId="0" borderId="9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0" fontId="7" fillId="0" borderId="11" xfId="0" applyFont="1" applyBorder="1" applyAlignment="1">
      <alignment horizontal="left" vertical="center"/>
    </xf>
    <xf numFmtId="0" fontId="7" fillId="0" borderId="12" xfId="0" applyFont="1" applyBorder="1" applyAlignment="1">
      <alignment horizontal="left" vertical="center"/>
    </xf>
  </cellXfs>
  <cellStyles count="2">
    <cellStyle name="Normal" xfId="0" builtinId="0"/>
    <cellStyle name="Percent" xfId="1" builtinId="5"/>
  </cellStyles>
  <dxfs count="3">
    <dxf>
      <numFmt numFmtId="3" formatCode="#,##0"/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100-000000000000}" autoFormatId="16" applyNumberFormats="0" applyBorderFormats="0" applyFontFormats="0" applyPatternFormats="0" applyAlignmentFormats="0" applyWidthHeightFormats="0">
  <queryTableRefresh nextId="5">
    <queryTableFields count="4">
      <queryTableField id="1" name="purch_year" tableColumnId="1"/>
      <queryTableField id="2" name="purchases_cnt" tableColumnId="2"/>
      <queryTableField id="3" name="items_cnt" tableColumnId="3"/>
      <queryTableField id="4" name="revenue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Query2" displayName="Query2" ref="A1:D6" tableType="queryTable" totalsRowShown="0">
  <autoFilter ref="A1:D6" xr:uid="{00000000-0009-0000-0100-000002000000}"/>
  <tableColumns count="4">
    <tableColumn id="1" xr3:uid="{00000000-0010-0000-0000-000001000000}" uniqueName="1" name="purch_year" queryTableFieldId="1"/>
    <tableColumn id="2" xr3:uid="{00000000-0010-0000-0000-000002000000}" uniqueName="2" name="purchases_cnt" queryTableFieldId="2" dataDxfId="2"/>
    <tableColumn id="3" xr3:uid="{00000000-0010-0000-0000-000003000000}" uniqueName="3" name="items_cnt" queryTableFieldId="3" dataDxfId="1"/>
    <tableColumn id="4" xr3:uid="{00000000-0010-0000-0000-000004000000}" uniqueName="4" name="revenue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6"/>
  <sheetViews>
    <sheetView tabSelected="1" workbookViewId="0">
      <selection activeCell="G13" sqref="G13"/>
    </sheetView>
  </sheetViews>
  <sheetFormatPr defaultColWidth="0" defaultRowHeight="14.4" zeroHeight="1" x14ac:dyDescent="0.3"/>
  <cols>
    <col min="1" max="1" width="5.109375" customWidth="1"/>
    <col min="2" max="2" width="28.33203125" bestFit="1" customWidth="1"/>
    <col min="3" max="3" width="13.109375" customWidth="1"/>
    <col min="4" max="4" width="14.21875" customWidth="1"/>
    <col min="5" max="9" width="14.5546875" customWidth="1"/>
    <col min="10" max="10" width="8.88671875" customWidth="1"/>
    <col min="11" max="16384" width="8.88671875" hidden="1"/>
  </cols>
  <sheetData>
    <row r="1" spans="1:10" x14ac:dyDescent="0.3">
      <c r="A1" s="3"/>
      <c r="B1" s="3"/>
      <c r="C1" s="3"/>
      <c r="D1" s="3"/>
      <c r="E1" s="3"/>
      <c r="F1" s="3"/>
      <c r="G1" s="3"/>
      <c r="H1" s="3"/>
      <c r="I1" s="3"/>
      <c r="J1" s="3"/>
    </row>
    <row r="2" spans="1:10" ht="21" x14ac:dyDescent="0.4">
      <c r="A2" s="3"/>
      <c r="B2" s="4" t="s">
        <v>21</v>
      </c>
      <c r="C2" s="3"/>
      <c r="D2" s="3"/>
      <c r="E2" s="3"/>
      <c r="F2" s="3"/>
      <c r="G2" s="3"/>
      <c r="H2" s="3"/>
      <c r="I2" s="3"/>
      <c r="J2" s="3"/>
    </row>
    <row r="3" spans="1:10" x14ac:dyDescent="0.3">
      <c r="A3" s="3"/>
      <c r="B3" s="3"/>
      <c r="C3" s="3"/>
      <c r="D3" s="3"/>
      <c r="E3" s="3"/>
      <c r="F3" s="3"/>
      <c r="G3" s="3"/>
      <c r="H3" s="3"/>
      <c r="I3" s="3"/>
      <c r="J3" s="3"/>
    </row>
    <row r="4" spans="1:10" ht="18" x14ac:dyDescent="0.35">
      <c r="A4" s="3"/>
      <c r="B4" s="5" t="s">
        <v>6</v>
      </c>
      <c r="C4" s="38">
        <v>2021</v>
      </c>
      <c r="D4" s="39" t="s">
        <v>11</v>
      </c>
      <c r="E4" s="3"/>
      <c r="F4" s="3"/>
      <c r="G4" s="3"/>
      <c r="H4" s="3"/>
      <c r="I4" s="3"/>
      <c r="J4" s="3"/>
    </row>
    <row r="5" spans="1:10" x14ac:dyDescent="0.3">
      <c r="A5" s="3"/>
      <c r="B5" s="5"/>
      <c r="C5" s="3"/>
      <c r="D5" s="7"/>
      <c r="E5" s="3"/>
      <c r="F5" s="3"/>
      <c r="G5" s="3"/>
      <c r="H5" s="3"/>
      <c r="I5" s="3"/>
      <c r="J5" s="3"/>
    </row>
    <row r="6" spans="1:10" x14ac:dyDescent="0.3">
      <c r="A6" s="3"/>
      <c r="B6" s="17" t="s">
        <v>12</v>
      </c>
      <c r="C6" s="3"/>
      <c r="D6" s="7"/>
      <c r="E6" s="3"/>
      <c r="F6" s="3"/>
      <c r="G6" s="3"/>
      <c r="H6" s="3"/>
      <c r="I6" s="3"/>
      <c r="J6" s="3"/>
    </row>
    <row r="7" spans="1:10" ht="28.8" x14ac:dyDescent="0.3">
      <c r="A7" s="3"/>
      <c r="B7" s="3"/>
      <c r="C7" s="8" t="s">
        <v>16</v>
      </c>
      <c r="D7" s="9" t="s">
        <v>7</v>
      </c>
      <c r="E7" s="9" t="s">
        <v>17</v>
      </c>
      <c r="F7" s="8" t="s">
        <v>0</v>
      </c>
      <c r="G7" s="3"/>
      <c r="H7" s="3"/>
      <c r="I7" s="3"/>
      <c r="J7" s="3"/>
    </row>
    <row r="8" spans="1:10" x14ac:dyDescent="0.3">
      <c r="A8" s="3"/>
      <c r="B8" s="3"/>
      <c r="C8" s="6">
        <f>C4</f>
        <v>2021</v>
      </c>
      <c r="D8" s="10">
        <f>VLOOKUP($C$4,db_query!$A:$D,2,0)</f>
        <v>256216</v>
      </c>
      <c r="E8" s="10">
        <f>VLOOKUP($C$4,db_query!$A:$D,3,0)</f>
        <v>556984</v>
      </c>
      <c r="F8" s="10">
        <f>VLOOKUP($C$4,db_query!$A:$D,4,0)</f>
        <v>141246681386</v>
      </c>
      <c r="G8" s="3"/>
      <c r="H8" s="3"/>
      <c r="I8" s="3"/>
      <c r="J8" s="3"/>
    </row>
    <row r="9" spans="1:10" x14ac:dyDescent="0.3">
      <c r="A9" s="3"/>
      <c r="B9" s="3"/>
      <c r="C9" s="3"/>
      <c r="D9" s="3"/>
      <c r="E9" s="3"/>
      <c r="F9" s="3"/>
      <c r="G9" s="3"/>
      <c r="H9" s="3"/>
      <c r="I9" s="3"/>
      <c r="J9" s="3"/>
    </row>
    <row r="10" spans="1:10" x14ac:dyDescent="0.3">
      <c r="A10" s="3"/>
      <c r="B10" s="17" t="s">
        <v>22</v>
      </c>
      <c r="C10" s="3"/>
      <c r="D10" s="3"/>
      <c r="E10" s="3"/>
      <c r="F10" s="3"/>
      <c r="G10" s="3"/>
      <c r="H10" s="3"/>
      <c r="I10" s="3"/>
      <c r="J10" s="3"/>
    </row>
    <row r="11" spans="1:10" x14ac:dyDescent="0.3">
      <c r="A11" s="3"/>
      <c r="B11" s="5" t="s">
        <v>7</v>
      </c>
      <c r="C11" s="15">
        <f>D8/1000</f>
        <v>256.21600000000001</v>
      </c>
      <c r="D11" s="12" t="s">
        <v>13</v>
      </c>
      <c r="E11" s="3"/>
      <c r="F11" s="3"/>
      <c r="G11" s="3"/>
      <c r="H11" s="3"/>
      <c r="I11" s="3"/>
      <c r="J11" s="3"/>
    </row>
    <row r="12" spans="1:10" x14ac:dyDescent="0.3">
      <c r="A12" s="3"/>
      <c r="B12" s="31" t="s">
        <v>8</v>
      </c>
      <c r="C12" s="16">
        <f>E8/D8</f>
        <v>2.173884534923658</v>
      </c>
      <c r="D12" s="3"/>
      <c r="E12" s="3"/>
      <c r="F12" s="3"/>
      <c r="G12" s="3"/>
      <c r="H12" s="3"/>
      <c r="I12" s="3"/>
      <c r="J12" s="3"/>
    </row>
    <row r="13" spans="1:10" x14ac:dyDescent="0.3">
      <c r="A13" s="3"/>
      <c r="B13" s="32" t="s">
        <v>9</v>
      </c>
      <c r="C13" s="15">
        <f>(F8/E8)/1000</f>
        <v>253.59199076813698</v>
      </c>
      <c r="D13" s="12" t="s">
        <v>13</v>
      </c>
      <c r="E13" s="3"/>
      <c r="F13" s="3"/>
      <c r="G13" s="3"/>
      <c r="H13" s="3"/>
      <c r="I13" s="3"/>
      <c r="J13" s="3"/>
    </row>
    <row r="14" spans="1:10" x14ac:dyDescent="0.3">
      <c r="A14" s="3"/>
      <c r="B14" s="3"/>
      <c r="C14" s="5"/>
      <c r="D14" s="3"/>
      <c r="E14" s="3"/>
      <c r="F14" s="3"/>
      <c r="G14" s="3"/>
      <c r="H14" s="3"/>
      <c r="I14" s="3"/>
      <c r="J14" s="3"/>
    </row>
    <row r="15" spans="1:10" x14ac:dyDescent="0.3">
      <c r="A15" s="3"/>
      <c r="B15" s="5" t="s">
        <v>10</v>
      </c>
      <c r="C15" s="15">
        <f>C11*C12*C13/1000</f>
        <v>141.24668138599998</v>
      </c>
      <c r="D15" s="33" t="s">
        <v>14</v>
      </c>
      <c r="E15" s="3"/>
      <c r="F15" s="3"/>
      <c r="G15" s="3"/>
      <c r="H15" s="3"/>
      <c r="I15" s="3"/>
      <c r="J15" s="3"/>
    </row>
    <row r="16" spans="1:10" x14ac:dyDescent="0.3">
      <c r="A16" s="3"/>
      <c r="B16" s="3"/>
      <c r="C16" s="11"/>
      <c r="D16" s="7"/>
      <c r="E16" s="35"/>
      <c r="F16" s="35"/>
      <c r="G16" s="35"/>
      <c r="H16" s="35"/>
      <c r="I16" s="35"/>
      <c r="J16" s="3"/>
    </row>
    <row r="17" spans="1:10" x14ac:dyDescent="0.3">
      <c r="A17" s="3"/>
      <c r="B17" s="18" t="s">
        <v>18</v>
      </c>
      <c r="C17" s="3"/>
      <c r="D17" s="3"/>
      <c r="E17" s="3"/>
      <c r="F17" s="3"/>
      <c r="G17" s="3"/>
      <c r="H17" s="3"/>
      <c r="I17" s="20" t="s">
        <v>20</v>
      </c>
      <c r="J17" s="3"/>
    </row>
    <row r="18" spans="1:10" x14ac:dyDescent="0.3">
      <c r="A18" s="3"/>
      <c r="B18" s="20"/>
      <c r="C18" s="3"/>
      <c r="D18" s="3"/>
      <c r="E18" s="40" t="s">
        <v>8</v>
      </c>
      <c r="F18" s="41"/>
      <c r="G18" s="41"/>
      <c r="H18" s="41"/>
      <c r="I18" s="42"/>
      <c r="J18" s="3"/>
    </row>
    <row r="19" spans="1:10" x14ac:dyDescent="0.3">
      <c r="A19" s="3"/>
      <c r="B19" s="3"/>
      <c r="C19" s="3"/>
      <c r="D19" s="3"/>
      <c r="E19" s="13">
        <v>-0.1</v>
      </c>
      <c r="F19" s="13">
        <v>-0.05</v>
      </c>
      <c r="G19" s="13">
        <v>0</v>
      </c>
      <c r="H19" s="13">
        <v>0.05</v>
      </c>
      <c r="I19" s="13">
        <v>0.1</v>
      </c>
      <c r="J19" s="3"/>
    </row>
    <row r="20" spans="1:10" x14ac:dyDescent="0.3">
      <c r="A20" s="3"/>
      <c r="B20" s="3"/>
      <c r="C20" s="3"/>
      <c r="D20" s="11">
        <f>C15</f>
        <v>141.24668138599998</v>
      </c>
      <c r="E20" s="36">
        <v>1.9564960814312922</v>
      </c>
      <c r="F20" s="36">
        <v>2.065190308177475</v>
      </c>
      <c r="G20" s="36">
        <v>2.173884534923658</v>
      </c>
      <c r="H20" s="36">
        <v>2.282578761669841</v>
      </c>
      <c r="I20" s="36">
        <v>2.391272988416024</v>
      </c>
      <c r="J20" s="3"/>
    </row>
    <row r="21" spans="1:10" x14ac:dyDescent="0.3">
      <c r="A21" s="34"/>
      <c r="B21" s="43" t="s">
        <v>15</v>
      </c>
      <c r="C21" s="14">
        <v>-0.1</v>
      </c>
      <c r="D21" s="37">
        <v>228.23279169132329</v>
      </c>
      <c r="E21" s="21">
        <f t="dataTable" ref="E21:I25" dt2D="1" dtr="1" r1="C12" r2="C13"/>
        <v>114.40981192266001</v>
      </c>
      <c r="F21" s="22">
        <v>120.76591258502999</v>
      </c>
      <c r="G21" s="22">
        <v>127.12201324740001</v>
      </c>
      <c r="H21" s="22">
        <v>133.47811390977</v>
      </c>
      <c r="I21" s="23">
        <v>139.83421457214001</v>
      </c>
      <c r="J21" s="3"/>
    </row>
    <row r="22" spans="1:10" x14ac:dyDescent="0.3">
      <c r="A22" s="34"/>
      <c r="B22" s="43"/>
      <c r="C22" s="14">
        <v>-0.05</v>
      </c>
      <c r="D22" s="37">
        <v>240.91239122973013</v>
      </c>
      <c r="E22" s="24">
        <v>120.76591258503001</v>
      </c>
      <c r="F22" s="25">
        <v>127.475129950865</v>
      </c>
      <c r="G22" s="25">
        <v>134.18434731669998</v>
      </c>
      <c r="H22" s="25">
        <v>140.89356468253501</v>
      </c>
      <c r="I22" s="26">
        <v>147.60278204837002</v>
      </c>
      <c r="J22" s="3"/>
    </row>
    <row r="23" spans="1:10" x14ac:dyDescent="0.3">
      <c r="A23" s="34"/>
      <c r="B23" s="43"/>
      <c r="C23" s="14">
        <v>0</v>
      </c>
      <c r="D23" s="37">
        <v>253.59199076813698</v>
      </c>
      <c r="E23" s="24">
        <v>127.12201324740001</v>
      </c>
      <c r="F23" s="25">
        <v>134.18434731669998</v>
      </c>
      <c r="G23" s="27">
        <v>141.24668138599998</v>
      </c>
      <c r="H23" s="25">
        <v>148.30901545530003</v>
      </c>
      <c r="I23" s="26">
        <v>155.37134952460002</v>
      </c>
      <c r="J23" s="3"/>
    </row>
    <row r="24" spans="1:10" x14ac:dyDescent="0.3">
      <c r="A24" s="34"/>
      <c r="B24" s="43"/>
      <c r="C24" s="14">
        <v>0.05</v>
      </c>
      <c r="D24" s="37">
        <v>266.27159030654383</v>
      </c>
      <c r="E24" s="24">
        <v>133.47811390977</v>
      </c>
      <c r="F24" s="25">
        <v>140.89356468253499</v>
      </c>
      <c r="G24" s="25">
        <v>148.3090154553</v>
      </c>
      <c r="H24" s="25">
        <v>155.72446622806501</v>
      </c>
      <c r="I24" s="26">
        <v>163.13991700083002</v>
      </c>
      <c r="J24" s="3"/>
    </row>
    <row r="25" spans="1:10" x14ac:dyDescent="0.3">
      <c r="A25" s="34"/>
      <c r="B25" s="43"/>
      <c r="C25" s="14">
        <v>0.1</v>
      </c>
      <c r="D25" s="37">
        <v>278.9511898449507</v>
      </c>
      <c r="E25" s="28">
        <v>139.83421457214001</v>
      </c>
      <c r="F25" s="29">
        <v>147.60278204836999</v>
      </c>
      <c r="G25" s="29">
        <v>155.37134952459999</v>
      </c>
      <c r="H25" s="29">
        <v>163.13991700083002</v>
      </c>
      <c r="I25" s="30">
        <v>170.90848447706003</v>
      </c>
      <c r="J25" s="3"/>
    </row>
    <row r="26" spans="1:10" x14ac:dyDescent="0.3">
      <c r="A26" s="3"/>
      <c r="B26" s="3"/>
      <c r="C26" s="3"/>
      <c r="D26" s="3"/>
      <c r="E26" s="3"/>
      <c r="F26" s="3"/>
      <c r="G26" s="3"/>
      <c r="H26" s="3"/>
      <c r="I26" s="3"/>
      <c r="J26" s="3"/>
    </row>
  </sheetData>
  <mergeCells count="2">
    <mergeCell ref="E18:I18"/>
    <mergeCell ref="B21:B25"/>
  </mergeCells>
  <conditionalFormatting sqref="E21:I2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{D20F22B6-CDB8-4865-868C-DF1604C0FF28}</x14:id>
        </ext>
      </extLst>
    </cfRule>
  </conditionalFormatting>
  <dataValidations count="1">
    <dataValidation type="list" showInputMessage="1" showErrorMessage="1" sqref="C4:C6" xr:uid="{00000000-0002-0000-0000-000000000000}">
      <formula1>Years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20F22B6-CDB8-4865-868C-DF1604C0FF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E21:I25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5"/>
  <sheetViews>
    <sheetView workbookViewId="0">
      <selection activeCell="C12" sqref="C12"/>
    </sheetView>
  </sheetViews>
  <sheetFormatPr defaultRowHeight="14.4" x14ac:dyDescent="0.3"/>
  <cols>
    <col min="1" max="1" width="12.77734375" bestFit="1" customWidth="1"/>
    <col min="2" max="2" width="15.44140625" style="1" bestFit="1" customWidth="1"/>
    <col min="3" max="3" width="11.44140625" style="1" bestFit="1" customWidth="1"/>
    <col min="4" max="4" width="14.44140625" style="1" customWidth="1"/>
    <col min="6" max="6" width="8.88671875" style="2"/>
  </cols>
  <sheetData>
    <row r="1" spans="1:12" x14ac:dyDescent="0.3">
      <c r="A1" t="s">
        <v>1</v>
      </c>
      <c r="B1" s="1" t="s">
        <v>2</v>
      </c>
      <c r="C1" s="1" t="s">
        <v>3</v>
      </c>
      <c r="D1" s="1" t="s">
        <v>4</v>
      </c>
      <c r="F1" s="19" t="s">
        <v>5</v>
      </c>
    </row>
    <row r="2" spans="1:12" x14ac:dyDescent="0.3">
      <c r="A2">
        <v>2021</v>
      </c>
      <c r="B2" s="1">
        <v>256216</v>
      </c>
      <c r="C2" s="1">
        <v>556984</v>
      </c>
      <c r="D2" s="1">
        <v>141246681386</v>
      </c>
      <c r="F2" s="2">
        <v>2017</v>
      </c>
    </row>
    <row r="3" spans="1:12" x14ac:dyDescent="0.3">
      <c r="A3">
        <v>2019</v>
      </c>
      <c r="B3" s="1">
        <v>116794</v>
      </c>
      <c r="C3" s="1">
        <v>252332</v>
      </c>
      <c r="D3" s="1">
        <v>63686166688</v>
      </c>
      <c r="F3" s="2">
        <v>2018</v>
      </c>
    </row>
    <row r="4" spans="1:12" x14ac:dyDescent="0.3">
      <c r="A4">
        <v>2020</v>
      </c>
      <c r="B4" s="1">
        <v>172908</v>
      </c>
      <c r="C4" s="1">
        <v>376753</v>
      </c>
      <c r="D4" s="1">
        <v>95448410052</v>
      </c>
      <c r="F4" s="2">
        <v>2019</v>
      </c>
    </row>
    <row r="5" spans="1:12" x14ac:dyDescent="0.3">
      <c r="A5">
        <v>2017</v>
      </c>
      <c r="B5" s="1">
        <v>34111</v>
      </c>
      <c r="C5" s="1">
        <v>74660</v>
      </c>
      <c r="D5" s="1">
        <v>18822418568</v>
      </c>
      <c r="F5" s="2">
        <v>2020</v>
      </c>
    </row>
    <row r="6" spans="1:12" x14ac:dyDescent="0.3">
      <c r="A6">
        <v>2018</v>
      </c>
      <c r="B6" s="1">
        <v>73127</v>
      </c>
      <c r="C6" s="1">
        <v>158764</v>
      </c>
      <c r="D6" s="1">
        <v>40131158589</v>
      </c>
      <c r="F6" s="2">
        <v>2021</v>
      </c>
    </row>
    <row r="8" spans="1:12" x14ac:dyDescent="0.3">
      <c r="F8" s="44" t="s">
        <v>19</v>
      </c>
      <c r="G8" s="45"/>
      <c r="H8" s="45"/>
      <c r="I8" s="45"/>
      <c r="J8" s="45"/>
      <c r="K8" s="45"/>
      <c r="L8" s="46"/>
    </row>
    <row r="9" spans="1:12" x14ac:dyDescent="0.3">
      <c r="F9" s="47"/>
      <c r="G9" s="48"/>
      <c r="H9" s="48"/>
      <c r="I9" s="48"/>
      <c r="J9" s="48"/>
      <c r="K9" s="48"/>
      <c r="L9" s="49"/>
    </row>
    <row r="10" spans="1:12" x14ac:dyDescent="0.3">
      <c r="F10" s="47"/>
      <c r="G10" s="48"/>
      <c r="H10" s="48"/>
      <c r="I10" s="48"/>
      <c r="J10" s="48"/>
      <c r="K10" s="48"/>
      <c r="L10" s="49"/>
    </row>
    <row r="11" spans="1:12" x14ac:dyDescent="0.3">
      <c r="F11" s="47"/>
      <c r="G11" s="48"/>
      <c r="H11" s="48"/>
      <c r="I11" s="48"/>
      <c r="J11" s="48"/>
      <c r="K11" s="48"/>
      <c r="L11" s="49"/>
    </row>
    <row r="12" spans="1:12" x14ac:dyDescent="0.3">
      <c r="F12" s="47"/>
      <c r="G12" s="48"/>
      <c r="H12" s="48"/>
      <c r="I12" s="48"/>
      <c r="J12" s="48"/>
      <c r="K12" s="48"/>
      <c r="L12" s="49"/>
    </row>
    <row r="13" spans="1:12" x14ac:dyDescent="0.3">
      <c r="F13" s="47"/>
      <c r="G13" s="48"/>
      <c r="H13" s="48"/>
      <c r="I13" s="48"/>
      <c r="J13" s="48"/>
      <c r="K13" s="48"/>
      <c r="L13" s="49"/>
    </row>
    <row r="14" spans="1:12" x14ac:dyDescent="0.3">
      <c r="F14" s="47"/>
      <c r="G14" s="48"/>
      <c r="H14" s="48"/>
      <c r="I14" s="48"/>
      <c r="J14" s="48"/>
      <c r="K14" s="48"/>
      <c r="L14" s="49"/>
    </row>
    <row r="15" spans="1:12" x14ac:dyDescent="0.3">
      <c r="F15" s="50"/>
      <c r="G15" s="51"/>
      <c r="H15" s="51"/>
      <c r="I15" s="51"/>
      <c r="J15" s="51"/>
      <c r="K15" s="51"/>
      <c r="L15" s="52"/>
    </row>
  </sheetData>
  <mergeCells count="1">
    <mergeCell ref="F8:L15"/>
  </mergeCell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CE82637-F294-4CF6-920D-79289AC4AB0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Analysis</vt:lpstr>
      <vt:lpstr>db_query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2025-10-05T16:07:55Z</dcterms:created>
  <dcterms:modified xsi:type="dcterms:W3CDTF">2025-10-05T21:33:28Z</dcterms:modified>
</cp:coreProperties>
</file>